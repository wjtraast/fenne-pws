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codeName="ThisWorkbook"/>
  <xr:revisionPtr revIDLastSave="0" documentId="8_{D4A46061-F098-45D1-9221-32F3D4C0B35F}" xr6:coauthVersionLast="47" xr6:coauthVersionMax="47" xr10:uidLastSave="{00000000-0000-0000-0000-000000000000}"/>
  <bookViews>
    <workbookView minimized="1" xWindow="63345" yWindow="3375" windowWidth="14400" windowHeight="7455" xr2:uid="{00000000-000D-0000-FFFF-FFFF00000000}"/>
  </bookViews>
  <sheets>
    <sheet name="ProjectSchedule" sheetId="11" r:id="rId1"/>
    <sheet name="About" sheetId="12" r:id="rId2"/>
  </sheets>
  <definedNames>
    <definedName name="_xlnm.Print_Titles" localSheetId="0">ProjectSchedule!$4:$6</definedName>
    <definedName name="Display_Week">ProjectSchedule!$E$4</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7" i="11" l="1"/>
  <c r="E3" i="11" l="1"/>
  <c r="E9" i="11" s="1"/>
  <c r="E21" i="11" s="1"/>
  <c r="F21" i="11" s="1"/>
  <c r="E22" i="11" s="1"/>
  <c r="F22" i="11" l="1"/>
  <c r="H22" i="11" s="1"/>
  <c r="E23" i="11"/>
  <c r="F9" i="11"/>
  <c r="E10" i="11" s="1"/>
  <c r="I5" i="11"/>
  <c r="H33" i="11"/>
  <c r="H32" i="11"/>
  <c r="H31" i="11"/>
  <c r="H30" i="11"/>
  <c r="H29" i="11"/>
  <c r="H28" i="11"/>
  <c r="H26" i="11"/>
  <c r="H21" i="11"/>
  <c r="H20" i="11"/>
  <c r="H14" i="11"/>
  <c r="H8" i="11"/>
  <c r="H9" i="11" l="1"/>
  <c r="F23" i="11"/>
  <c r="E25" i="11"/>
  <c r="F10" i="11"/>
  <c r="E11" i="11" s="1"/>
  <c r="E13" i="11"/>
  <c r="E15" i="11" s="1"/>
  <c r="E16" i="11" s="1"/>
  <c r="I6" i="11"/>
  <c r="H27" i="11" l="1"/>
  <c r="F25" i="11"/>
  <c r="H25" i="11" s="1"/>
  <c r="H10" i="11"/>
  <c r="E24" i="11"/>
  <c r="H23" i="11"/>
  <c r="F16" i="11"/>
  <c r="F15" i="11"/>
  <c r="H15" i="11" s="1"/>
  <c r="F13" i="11"/>
  <c r="H13" i="11" s="1"/>
  <c r="F11" i="11"/>
  <c r="E12" i="11" s="1"/>
  <c r="J5" i="11"/>
  <c r="K5" i="11" s="1"/>
  <c r="L5" i="11" s="1"/>
  <c r="M5" i="11" s="1"/>
  <c r="N5" i="11" s="1"/>
  <c r="O5" i="11" s="1"/>
  <c r="P5" i="11" s="1"/>
  <c r="I4" i="11"/>
  <c r="F24" i="11" l="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<sst xmlns="http://schemas.openxmlformats.org/spreadsheetml/2006/main" count="79" uniqueCount="52">
  <si>
    <t>Phase 1 Title</t>
  </si>
  <si>
    <t>Task 3</t>
  </si>
  <si>
    <t>Task 4</t>
  </si>
  <si>
    <t>Task 5</t>
  </si>
  <si>
    <t>Phase 2 Title</t>
  </si>
  <si>
    <t>Task 1</t>
  </si>
  <si>
    <t>Task 2</t>
  </si>
  <si>
    <t>Insert new rows ABOVE this one</t>
  </si>
  <si>
    <t>Project Start:</t>
  </si>
  <si>
    <t>PROGRESS</t>
  </si>
  <si>
    <t>ASSIGNED
TO</t>
  </si>
  <si>
    <t>PROJECT TITLE</t>
  </si>
  <si>
    <t>Project Management Templates</t>
  </si>
  <si>
    <t>START</t>
  </si>
  <si>
    <t>END</t>
  </si>
  <si>
    <t>DAYS</t>
  </si>
  <si>
    <t>Display Week:</t>
  </si>
  <si>
    <t>TASK</t>
  </si>
  <si>
    <t>Phase 3 Title</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</si>
  <si>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</si>
  <si>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</si>
  <si>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</si>
  <si>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</si>
  <si>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</si>
  <si>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</si>
  <si>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</si>
  <si>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</si>
  <si>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</si>
  <si>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</si>
  <si>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</si>
  <si>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Phase 4 Title</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</si>
  <si>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</si>
  <si>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Company Name</t>
  </si>
  <si>
    <t>Project Lead</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</si>
  <si>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</si>
  <si>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</si>
  <si>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</si>
  <si>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date</t>
  </si>
  <si>
    <t>Name</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</si>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</sst>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5" fontId="9" fillId="3" borderId="2" xfId="10" applyFill="1">
      <alignment horizontal="center" vertical="center"/>
    </xf>
    <xf numFmtId="165" fontId="9" fillId="4" borderId="2" xfId="10" applyFill="1">
      <alignment horizontal="center" vertical="center"/>
    </xf>
    <xf numFmtId="165" fontId="9" fillId="11" borderId="2" xfId="10" applyFill="1">
      <alignment horizontal="center" vertical="center"/>
    </xf>
    <xf numFmtId="165" fontId="9" fillId="10" borderId="2" xfId="10" applyFill="1">
      <alignment horizontal="center" vertical="center"/>
    </xf>
    <xf numFmtId="165"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xf numFmtId="0" fontId="0" fillId="0" borderId="10" xfId="0" applyBorder="1"/>
  </cellXfs>
  <cellStyles count="13">
    <cellStyle name="Date" xfId="10" xr:uid="{229918B6-DD13-4F5A-97B9-305F7E002AA3}"/>
    <cellStyle name="Hyperlink" xfId="1" builtinId="8" customBuiltin="1"/>
    <cellStyle name="Komma" xfId="4" builtinId="3" customBuiltin="1"/>
    <cellStyle name="Kop 1" xfId="6" builtinId="16" customBuiltin="1"/>
    <cellStyle name="Kop 2" xfId="7" builtinId="17" customBuiltin="1"/>
    <cellStyle name="Kop 3" xfId="8" builtinId="18" customBuiltin="1"/>
    <cellStyle name="Name" xfId="11" xr:uid="{B2D3C1EE-6B41-4801-AAFC-C2274E49E503}"/>
    <cellStyle name="Procent" xfId="2" builtinId="5"/>
    <cellStyle name="Project Start" xfId="9" xr:uid="{8EB8A09A-C31C-40A3-B2C1-9449520178B8}"/>
    <cellStyle name="Standaard" xfId="0" builtinId="0"/>
    <cellStyle name="Task" xfId="12" xr:uid="{6391D789-272B-4DD2-9BF3-2CDCF610FA41}"/>
    <cellStyle name="Titel"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11" activePane="bottomLeft" state="frozen"/>
      <selection pane="bottomLeft" activeCell="E3" sqref="E3:F3"/>
    </sheetView>
  </sheetViews>
  <sheetFormatPr defaultRowHeight="30" customHeight="1" x14ac:dyDescent="0.35"/>
  <cols>
    <col min="1" max="1" width="2.6328125" style="58" customWidth="1"/>
    <col min="2" max="2" width="19.90625" customWidth="1"/>
    <col min="3" max="3" width="30.6328125" customWidth="1"/>
    <col min="4" max="4" width="10.6328125" customWidth="1"/>
    <col min="5" max="5" width="10.453125" style="5" customWidth="1"/>
    <col min="6" max="6" width="10.453125" customWidth="1"/>
    <col min="7" max="7" width="2.6328125" customWidth="1"/>
    <col min="8" max="8" width="6.08984375" hidden="1" customWidth="1"/>
    <col min="9" max="64" width="2.54296875" customWidth="1"/>
    <col min="69" max="70" width="10.36328125"/>
  </cols>
  <sheetData>
    <row r="1" spans="1:64" ht="30" customHeight="1" x14ac:dyDescent="0.65">
      <c r="A1" s="59" t="s">
        <v>43</v>
      </c>
      <c r="B1" s="63" t="s">
        <v>11</v>
      </c>
      <c r="C1" s="1"/>
      <c r="D1" s="2"/>
      <c r="E1" s="4"/>
      <c r="F1" s="47"/>
      <c r="H1" s="2"/>
      <c r="I1" s="14" t="s">
        <v>21</v>
      </c>
    </row>
    <row r="2" spans="1:64" ht="30" customHeight="1" x14ac:dyDescent="0.45">
      <c r="A2" s="58" t="s">
        <v>36</v>
      </c>
      <c r="B2" s="64" t="s">
        <v>32</v>
      </c>
      <c r="I2" s="61" t="s">
        <v>26</v>
      </c>
    </row>
    <row r="3" spans="1:64" ht="30" customHeight="1" x14ac:dyDescent="0.35">
      <c r="A3" s="58" t="s">
        <v>44</v>
      </c>
      <c r="B3" s="65" t="s">
        <v>33</v>
      </c>
      <c r="C3" s="89" t="s">
        <v>8</v>
      </c>
      <c r="D3" s="90"/>
      <c r="E3" s="88">
        <f ca="1">TODAY()</f>
        <v>45470</v>
      </c>
      <c r="F3" s="88"/>
    </row>
    <row r="4" spans="1:64" ht="30" customHeight="1" x14ac:dyDescent="0.35">
      <c r="A4" s="59" t="s">
        <v>45</v>
      </c>
      <c r="C4" s="89" t="s">
        <v>16</v>
      </c>
      <c r="D4" s="90"/>
      <c r="E4" s="7">
        <v>1</v>
      </c>
      <c r="I4" s="85">
        <f ca="1">I5</f>
        <v>45467</v>
      </c>
      <c r="J4" s="86"/>
      <c r="K4" s="86"/>
      <c r="L4" s="86"/>
      <c r="M4" s="86"/>
      <c r="N4" s="86"/>
      <c r="O4" s="87"/>
      <c r="P4" s="85">
        <f ca="1">P5</f>
        <v>45474</v>
      </c>
      <c r="Q4" s="86"/>
      <c r="R4" s="86"/>
      <c r="S4" s="86"/>
      <c r="T4" s="86"/>
      <c r="U4" s="86"/>
      <c r="V4" s="87"/>
      <c r="W4" s="85">
        <f ca="1">W5</f>
        <v>45481</v>
      </c>
      <c r="X4" s="86"/>
      <c r="Y4" s="86"/>
      <c r="Z4" s="86"/>
      <c r="AA4" s="86"/>
      <c r="AB4" s="86"/>
      <c r="AC4" s="87"/>
      <c r="AD4" s="85">
        <f ca="1">AD5</f>
        <v>45488</v>
      </c>
      <c r="AE4" s="86"/>
      <c r="AF4" s="86"/>
      <c r="AG4" s="86"/>
      <c r="AH4" s="86"/>
      <c r="AI4" s="86"/>
      <c r="AJ4" s="87"/>
      <c r="AK4" s="85">
        <f ca="1">AK5</f>
        <v>45495</v>
      </c>
      <c r="AL4" s="86"/>
      <c r="AM4" s="86"/>
      <c r="AN4" s="86"/>
      <c r="AO4" s="86"/>
      <c r="AP4" s="86"/>
      <c r="AQ4" s="87"/>
      <c r="AR4" s="85">
        <f ca="1">AR5</f>
        <v>45502</v>
      </c>
      <c r="AS4" s="86"/>
      <c r="AT4" s="86"/>
      <c r="AU4" s="86"/>
      <c r="AV4" s="86"/>
      <c r="AW4" s="86"/>
      <c r="AX4" s="87"/>
      <c r="AY4" s="85">
        <f ca="1">AY5</f>
        <v>45509</v>
      </c>
      <c r="AZ4" s="86"/>
      <c r="BA4" s="86"/>
      <c r="BB4" s="86"/>
      <c r="BC4" s="86"/>
      <c r="BD4" s="86"/>
      <c r="BE4" s="87"/>
      <c r="BF4" s="85">
        <f ca="1">BF5</f>
        <v>45516</v>
      </c>
      <c r="BG4" s="86"/>
      <c r="BH4" s="86"/>
      <c r="BI4" s="86"/>
      <c r="BJ4" s="86"/>
      <c r="BK4" s="86"/>
      <c r="BL4" s="87"/>
    </row>
    <row r="5" spans="1:64" ht="15" customHeight="1" x14ac:dyDescent="0.35">
      <c r="A5" s="59" t="s">
        <v>46</v>
      </c>
      <c r="B5" s="91"/>
      <c r="C5" s="91"/>
      <c r="D5" s="91"/>
      <c r="E5" s="91"/>
      <c r="F5" s="91"/>
      <c r="G5" s="91"/>
      <c r="I5" s="11">
        <f ca="1">Project_Start-WEEKDAY(Project_Start,1)+2+7*(Display_Week-1)</f>
        <v>45467</v>
      </c>
      <c r="J5" s="10">
        <f ca="1">I5+1</f>
        <v>45468</v>
      </c>
      <c r="K5" s="10">
        <f t="shared" ref="K5:AX5" ca="1" si="0">J5+1</f>
        <v>45469</v>
      </c>
      <c r="L5" s="10">
        <f t="shared" ca="1" si="0"/>
        <v>45470</v>
      </c>
      <c r="M5" s="10">
        <f t="shared" ca="1" si="0"/>
        <v>45471</v>
      </c>
      <c r="N5" s="10">
        <f t="shared" ca="1" si="0"/>
        <v>45472</v>
      </c>
      <c r="O5" s="12">
        <f t="shared" ca="1" si="0"/>
        <v>45473</v>
      </c>
      <c r="P5" s="11">
        <f ca="1">O5+1</f>
        <v>45474</v>
      </c>
      <c r="Q5" s="10">
        <f ca="1">P5+1</f>
        <v>45475</v>
      </c>
      <c r="R5" s="10">
        <f t="shared" ca="1" si="0"/>
        <v>45476</v>
      </c>
      <c r="S5" s="10">
        <f t="shared" ca="1" si="0"/>
        <v>45477</v>
      </c>
      <c r="T5" s="10">
        <f t="shared" ca="1" si="0"/>
        <v>45478</v>
      </c>
      <c r="U5" s="10">
        <f t="shared" ca="1" si="0"/>
        <v>45479</v>
      </c>
      <c r="V5" s="12">
        <f t="shared" ca="1" si="0"/>
        <v>45480</v>
      </c>
      <c r="W5" s="11">
        <f ca="1">V5+1</f>
        <v>45481</v>
      </c>
      <c r="X5" s="10">
        <f ca="1">W5+1</f>
        <v>45482</v>
      </c>
      <c r="Y5" s="10">
        <f t="shared" ca="1" si="0"/>
        <v>45483</v>
      </c>
      <c r="Z5" s="10">
        <f t="shared" ca="1" si="0"/>
        <v>45484</v>
      </c>
      <c r="AA5" s="10">
        <f t="shared" ca="1" si="0"/>
        <v>45485</v>
      </c>
      <c r="AB5" s="10">
        <f t="shared" ca="1" si="0"/>
        <v>45486</v>
      </c>
      <c r="AC5" s="12">
        <f t="shared" ca="1" si="0"/>
        <v>45487</v>
      </c>
      <c r="AD5" s="11">
        <f ca="1">AC5+1</f>
        <v>45488</v>
      </c>
      <c r="AE5" s="10">
        <f ca="1">AD5+1</f>
        <v>45489</v>
      </c>
      <c r="AF5" s="10">
        <f t="shared" ca="1" si="0"/>
        <v>45490</v>
      </c>
      <c r="AG5" s="10">
        <f t="shared" ca="1" si="0"/>
        <v>45491</v>
      </c>
      <c r="AH5" s="10">
        <f t="shared" ca="1" si="0"/>
        <v>45492</v>
      </c>
      <c r="AI5" s="10">
        <f t="shared" ca="1" si="0"/>
        <v>45493</v>
      </c>
      <c r="AJ5" s="12">
        <f t="shared" ca="1" si="0"/>
        <v>45494</v>
      </c>
      <c r="AK5" s="11">
        <f ca="1">AJ5+1</f>
        <v>45495</v>
      </c>
      <c r="AL5" s="10">
        <f ca="1">AK5+1</f>
        <v>45496</v>
      </c>
      <c r="AM5" s="10">
        <f t="shared" ca="1" si="0"/>
        <v>45497</v>
      </c>
      <c r="AN5" s="10">
        <f t="shared" ca="1" si="0"/>
        <v>45498</v>
      </c>
      <c r="AO5" s="10">
        <f t="shared" ca="1" si="0"/>
        <v>45499</v>
      </c>
      <c r="AP5" s="10">
        <f t="shared" ca="1" si="0"/>
        <v>45500</v>
      </c>
      <c r="AQ5" s="12">
        <f t="shared" ca="1" si="0"/>
        <v>45501</v>
      </c>
      <c r="AR5" s="11">
        <f ca="1">AQ5+1</f>
        <v>45502</v>
      </c>
      <c r="AS5" s="10">
        <f ca="1">AR5+1</f>
        <v>45503</v>
      </c>
      <c r="AT5" s="10">
        <f t="shared" ca="1" si="0"/>
        <v>45504</v>
      </c>
      <c r="AU5" s="10">
        <f t="shared" ca="1" si="0"/>
        <v>45505</v>
      </c>
      <c r="AV5" s="10">
        <f t="shared" ca="1" si="0"/>
        <v>45506</v>
      </c>
      <c r="AW5" s="10">
        <f t="shared" ca="1" si="0"/>
        <v>45507</v>
      </c>
      <c r="AX5" s="12">
        <f t="shared" ca="1" si="0"/>
        <v>45508</v>
      </c>
      <c r="AY5" s="11">
        <f ca="1">AX5+1</f>
        <v>45509</v>
      </c>
      <c r="AZ5" s="10">
        <f ca="1">AY5+1</f>
        <v>45510</v>
      </c>
      <c r="BA5" s="10">
        <f t="shared" ref="BA5:BE5" ca="1" si="1">AZ5+1</f>
        <v>45511</v>
      </c>
      <c r="BB5" s="10">
        <f t="shared" ca="1" si="1"/>
        <v>45512</v>
      </c>
      <c r="BC5" s="10">
        <f t="shared" ca="1" si="1"/>
        <v>45513</v>
      </c>
      <c r="BD5" s="10">
        <f t="shared" ca="1" si="1"/>
        <v>45514</v>
      </c>
      <c r="BE5" s="12">
        <f t="shared" ca="1" si="1"/>
        <v>45515</v>
      </c>
      <c r="BF5" s="11">
        <f ca="1">BE5+1</f>
        <v>45516</v>
      </c>
      <c r="BG5" s="10">
        <f ca="1">BF5+1</f>
        <v>45517</v>
      </c>
      <c r="BH5" s="10">
        <f t="shared" ref="BH5:BL5" ca="1" si="2">BG5+1</f>
        <v>45518</v>
      </c>
      <c r="BI5" s="10">
        <f t="shared" ca="1" si="2"/>
        <v>45519</v>
      </c>
      <c r="BJ5" s="10">
        <f t="shared" ca="1" si="2"/>
        <v>45520</v>
      </c>
      <c r="BK5" s="10">
        <f t="shared" ca="1" si="2"/>
        <v>45521</v>
      </c>
      <c r="BL5" s="12">
        <f t="shared" ca="1" si="2"/>
        <v>45522</v>
      </c>
    </row>
    <row r="6" spans="1:64" ht="30" customHeight="1" thickBot="1" x14ac:dyDescent="0.4">
      <c r="A6" s="59" t="s">
        <v>47</v>
      </c>
      <c r="B6" s="8" t="s">
        <v>17</v>
      </c>
      <c r="C6" s="9" t="s">
        <v>10</v>
      </c>
      <c r="D6" s="9" t="s">
        <v>9</v>
      </c>
      <c r="E6" s="9" t="s">
        <v>13</v>
      </c>
      <c r="F6" s="9" t="s">
        <v>14</v>
      </c>
      <c r="G6" s="9"/>
      <c r="H6" s="9" t="s">
        <v>15</v>
      </c>
      <c r="I6" s="13" t="str">
        <f t="shared" ref="I6" ca="1" si="3">LEFT(TEXT(I5,"ddd"),1)</f>
        <v>m</v>
      </c>
      <c r="J6" s="13" t="str">
        <f t="shared" ref="J6:AR6" ca="1" si="4">LEFT(TEXT(J5,"ddd"),1)</f>
        <v>d</v>
      </c>
      <c r="K6" s="13" t="str">
        <f t="shared" ca="1" si="4"/>
        <v>w</v>
      </c>
      <c r="L6" s="13" t="str">
        <f t="shared" ca="1" si="4"/>
        <v>d</v>
      </c>
      <c r="M6" s="13" t="str">
        <f t="shared" ca="1" si="4"/>
        <v>v</v>
      </c>
      <c r="N6" s="13" t="str">
        <f t="shared" ca="1" si="4"/>
        <v>z</v>
      </c>
      <c r="O6" s="13" t="str">
        <f t="shared" ca="1" si="4"/>
        <v>z</v>
      </c>
      <c r="P6" s="13" t="str">
        <f t="shared" ca="1" si="4"/>
        <v>m</v>
      </c>
      <c r="Q6" s="13" t="str">
        <f t="shared" ca="1" si="4"/>
        <v>d</v>
      </c>
      <c r="R6" s="13" t="str">
        <f t="shared" ca="1" si="4"/>
        <v>w</v>
      </c>
      <c r="S6" s="13" t="str">
        <f t="shared" ca="1" si="4"/>
        <v>d</v>
      </c>
      <c r="T6" s="13" t="str">
        <f t="shared" ca="1" si="4"/>
        <v>v</v>
      </c>
      <c r="U6" s="13" t="str">
        <f t="shared" ca="1" si="4"/>
        <v>z</v>
      </c>
      <c r="V6" s="13" t="str">
        <f t="shared" ca="1" si="4"/>
        <v>z</v>
      </c>
      <c r="W6" s="13" t="str">
        <f t="shared" ca="1" si="4"/>
        <v>m</v>
      </c>
      <c r="X6" s="13" t="str">
        <f t="shared" ca="1" si="4"/>
        <v>d</v>
      </c>
      <c r="Y6" s="13" t="str">
        <f t="shared" ca="1" si="4"/>
        <v>w</v>
      </c>
      <c r="Z6" s="13" t="str">
        <f t="shared" ca="1" si="4"/>
        <v>d</v>
      </c>
      <c r="AA6" s="13" t="str">
        <f t="shared" ca="1" si="4"/>
        <v>v</v>
      </c>
      <c r="AB6" s="13" t="str">
        <f t="shared" ca="1" si="4"/>
        <v>z</v>
      </c>
      <c r="AC6" s="13" t="str">
        <f t="shared" ca="1" si="4"/>
        <v>z</v>
      </c>
      <c r="AD6" s="13" t="str">
        <f t="shared" ca="1" si="4"/>
        <v>m</v>
      </c>
      <c r="AE6" s="13" t="str">
        <f t="shared" ca="1" si="4"/>
        <v>d</v>
      </c>
      <c r="AF6" s="13" t="str">
        <f t="shared" ca="1" si="4"/>
        <v>w</v>
      </c>
      <c r="AG6" s="13" t="str">
        <f t="shared" ca="1" si="4"/>
        <v>d</v>
      </c>
      <c r="AH6" s="13" t="str">
        <f t="shared" ca="1" si="4"/>
        <v>v</v>
      </c>
      <c r="AI6" s="13" t="str">
        <f t="shared" ca="1" si="4"/>
        <v>z</v>
      </c>
      <c r="AJ6" s="13" t="str">
        <f t="shared" ca="1" si="4"/>
        <v>z</v>
      </c>
      <c r="AK6" s="13" t="str">
        <f t="shared" ca="1" si="4"/>
        <v>m</v>
      </c>
      <c r="AL6" s="13" t="str">
        <f t="shared" ca="1" si="4"/>
        <v>d</v>
      </c>
      <c r="AM6" s="13" t="str">
        <f t="shared" ca="1" si="4"/>
        <v>w</v>
      </c>
      <c r="AN6" s="13" t="str">
        <f t="shared" ca="1" si="4"/>
        <v>d</v>
      </c>
      <c r="AO6" s="13" t="str">
        <f t="shared" ca="1" si="4"/>
        <v>v</v>
      </c>
      <c r="AP6" s="13" t="str">
        <f t="shared" ca="1" si="4"/>
        <v>z</v>
      </c>
      <c r="AQ6" s="13" t="str">
        <f t="shared" ca="1" si="4"/>
        <v>z</v>
      </c>
      <c r="AR6" s="13" t="str">
        <f t="shared" ca="1" si="4"/>
        <v>m</v>
      </c>
      <c r="AS6" s="13" t="str">
        <f t="shared" ref="AS6:BL6" ca="1" si="5">LEFT(TEXT(AS5,"ddd"),1)</f>
        <v>d</v>
      </c>
      <c r="AT6" s="13" t="str">
        <f t="shared" ca="1" si="5"/>
        <v>w</v>
      </c>
      <c r="AU6" s="13" t="str">
        <f t="shared" ca="1" si="5"/>
        <v>d</v>
      </c>
      <c r="AV6" s="13" t="str">
        <f t="shared" ca="1" si="5"/>
        <v>v</v>
      </c>
      <c r="AW6" s="13" t="str">
        <f t="shared" ca="1" si="5"/>
        <v>z</v>
      </c>
      <c r="AX6" s="13" t="str">
        <f t="shared" ca="1" si="5"/>
        <v>z</v>
      </c>
      <c r="AY6" s="13" t="str">
        <f t="shared" ca="1" si="5"/>
        <v>m</v>
      </c>
      <c r="AZ6" s="13" t="str">
        <f t="shared" ca="1" si="5"/>
        <v>d</v>
      </c>
      <c r="BA6" s="13" t="str">
        <f t="shared" ca="1" si="5"/>
        <v>w</v>
      </c>
      <c r="BB6" s="13" t="str">
        <f t="shared" ca="1" si="5"/>
        <v>d</v>
      </c>
      <c r="BC6" s="13" t="str">
        <f t="shared" ca="1" si="5"/>
        <v>v</v>
      </c>
      <c r="BD6" s="13" t="str">
        <f t="shared" ca="1" si="5"/>
        <v>z</v>
      </c>
      <c r="BE6" s="13" t="str">
        <f t="shared" ca="1" si="5"/>
        <v>z</v>
      </c>
      <c r="BF6" s="13" t="str">
        <f t="shared" ca="1" si="5"/>
        <v>m</v>
      </c>
      <c r="BG6" s="13" t="str">
        <f t="shared" ca="1" si="5"/>
        <v>d</v>
      </c>
      <c r="BH6" s="13" t="str">
        <f t="shared" ca="1" si="5"/>
        <v>w</v>
      </c>
      <c r="BI6" s="13" t="str">
        <f t="shared" ca="1" si="5"/>
        <v>d</v>
      </c>
      <c r="BJ6" s="13" t="str">
        <f t="shared" ca="1" si="5"/>
        <v>v</v>
      </c>
      <c r="BK6" s="13" t="str">
        <f t="shared" ca="1" si="5"/>
        <v>z</v>
      </c>
      <c r="BL6" s="13" t="str">
        <f t="shared" ca="1" si="5"/>
        <v>z</v>
      </c>
    </row>
    <row r="7" spans="1:64" ht="30" hidden="1" customHeight="1" thickBot="1" x14ac:dyDescent="0.4">
      <c r="A7" s="58" t="s">
        <v>42</v>
      </c>
      <c r="C7" s="62"/>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64" s="3" customFormat="1" ht="30" customHeight="1" thickBot="1" x14ac:dyDescent="0.4">
      <c r="A8" s="59" t="s">
        <v>48</v>
      </c>
      <c r="B8" s="18" t="s">
        <v>0</v>
      </c>
      <c r="C8" s="71"/>
      <c r="D8" s="19"/>
      <c r="E8" s="20"/>
      <c r="F8" s="21"/>
      <c r="G8" s="17"/>
      <c r="H8" s="17" t="str">
        <f t="shared" ref="H8:H33" si="6">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3" customFormat="1" ht="30" customHeight="1" thickBot="1" x14ac:dyDescent="0.4">
      <c r="A9" s="59" t="s">
        <v>49</v>
      </c>
      <c r="B9" s="80" t="s">
        <v>5</v>
      </c>
      <c r="C9" s="72" t="s">
        <v>38</v>
      </c>
      <c r="D9" s="22">
        <v>0.5</v>
      </c>
      <c r="E9" s="66">
        <f ca="1">Project_Start</f>
        <v>45470</v>
      </c>
      <c r="F9" s="66">
        <f ca="1">E9+3</f>
        <v>45473</v>
      </c>
      <c r="G9" s="17"/>
      <c r="H9" s="17">
        <f t="shared" ca="1" si="6"/>
        <v>4</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 customFormat="1" ht="30" customHeight="1" thickBot="1" x14ac:dyDescent="0.4">
      <c r="A10" s="59" t="s">
        <v>50</v>
      </c>
      <c r="B10" s="80" t="s">
        <v>6</v>
      </c>
      <c r="C10" s="72"/>
      <c r="D10" s="22">
        <v>0.6</v>
      </c>
      <c r="E10" s="66">
        <f ca="1">F9</f>
        <v>45473</v>
      </c>
      <c r="F10" s="66">
        <f ca="1">E10+2</f>
        <v>45475</v>
      </c>
      <c r="G10" s="17"/>
      <c r="H10" s="17">
        <f t="shared" ca="1" si="6"/>
        <v>3</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 customFormat="1" ht="30" customHeight="1" thickBot="1" x14ac:dyDescent="0.4">
      <c r="A11" s="58"/>
      <c r="B11" s="80" t="s">
        <v>1</v>
      </c>
      <c r="C11" s="72"/>
      <c r="D11" s="22">
        <v>0.5</v>
      </c>
      <c r="E11" s="66">
        <f ca="1">F10</f>
        <v>45475</v>
      </c>
      <c r="F11" s="66">
        <f ca="1">E11+4</f>
        <v>45479</v>
      </c>
      <c r="G11" s="17"/>
      <c r="H11" s="17">
        <f t="shared" ca="1" si="6"/>
        <v>5</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 customFormat="1" ht="30" customHeight="1" thickBot="1" x14ac:dyDescent="0.4">
      <c r="A12" s="58"/>
      <c r="B12" s="80" t="s">
        <v>2</v>
      </c>
      <c r="C12" s="72"/>
      <c r="D12" s="22">
        <v>0.25</v>
      </c>
      <c r="E12" s="66">
        <f ca="1">F11</f>
        <v>45479</v>
      </c>
      <c r="F12" s="66">
        <f ca="1">E12+5</f>
        <v>45484</v>
      </c>
      <c r="G12" s="17"/>
      <c r="H12" s="17">
        <f t="shared" ca="1" si="6"/>
        <v>6</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 customFormat="1" ht="30" customHeight="1" thickBot="1" x14ac:dyDescent="0.4">
      <c r="A13" s="58"/>
      <c r="B13" s="80" t="s">
        <v>3</v>
      </c>
      <c r="C13" s="72"/>
      <c r="D13" s="22"/>
      <c r="E13" s="66">
        <f ca="1">E10+1</f>
        <v>45474</v>
      </c>
      <c r="F13" s="66">
        <f ca="1">E13+2</f>
        <v>45476</v>
      </c>
      <c r="G13" s="17"/>
      <c r="H13" s="17">
        <f t="shared" ca="1" si="6"/>
        <v>3</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 customFormat="1" ht="30" customHeight="1" thickBot="1" x14ac:dyDescent="0.4">
      <c r="A14" s="59" t="s">
        <v>51</v>
      </c>
      <c r="B14" s="23" t="s">
        <v>4</v>
      </c>
      <c r="C14" s="73"/>
      <c r="D14" s="24"/>
      <c r="E14" s="25"/>
      <c r="F14" s="26"/>
      <c r="G14" s="17"/>
      <c r="H14" s="17" t="str">
        <f t="shared" si="6"/>
        <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 customFormat="1" ht="30" customHeight="1" thickBot="1" x14ac:dyDescent="0.4">
      <c r="A15" s="59"/>
      <c r="B15" s="81" t="s">
        <v>5</v>
      </c>
      <c r="C15" s="74"/>
      <c r="D15" s="27">
        <v>0.5</v>
      </c>
      <c r="E15" s="67">
        <f ca="1">E13+1</f>
        <v>45475</v>
      </c>
      <c r="F15" s="67">
        <f ca="1">E15+4</f>
        <v>45479</v>
      </c>
      <c r="G15" s="17"/>
      <c r="H15" s="17">
        <f t="shared" ca="1" si="6"/>
        <v>5</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 customFormat="1" ht="30" customHeight="1" thickBot="1" x14ac:dyDescent="0.4">
      <c r="A16" s="58"/>
      <c r="B16" s="81" t="s">
        <v>6</v>
      </c>
      <c r="C16" s="74"/>
      <c r="D16" s="27">
        <v>0.5</v>
      </c>
      <c r="E16" s="67">
        <f ca="1">E15+2</f>
        <v>45477</v>
      </c>
      <c r="F16" s="67">
        <f ca="1">E16+5</f>
        <v>45482</v>
      </c>
      <c r="G16" s="17"/>
      <c r="H16" s="17">
        <f t="shared" ca="1" si="6"/>
        <v>6</v>
      </c>
      <c r="I16" s="44"/>
      <c r="J16" s="44"/>
      <c r="K16" s="44"/>
      <c r="L16" s="44"/>
      <c r="M16" s="44"/>
      <c r="N16" s="44"/>
      <c r="O16" s="44"/>
      <c r="P16" s="44"/>
      <c r="Q16" s="44"/>
      <c r="R16" s="44"/>
      <c r="S16" s="44"/>
      <c r="T16" s="44"/>
      <c r="U16" s="45"/>
      <c r="V16" s="45"/>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 customFormat="1" ht="30" customHeight="1" thickBot="1" x14ac:dyDescent="0.4">
      <c r="A17" s="58"/>
      <c r="B17" s="81" t="s">
        <v>1</v>
      </c>
      <c r="C17" s="74"/>
      <c r="D17" s="27"/>
      <c r="E17" s="67">
        <f ca="1">F16</f>
        <v>45482</v>
      </c>
      <c r="F17" s="67">
        <f ca="1">E17+3</f>
        <v>45485</v>
      </c>
      <c r="G17" s="17"/>
      <c r="H17" s="17">
        <f t="shared" ca="1" si="6"/>
        <v>4</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 customFormat="1" ht="30" customHeight="1" thickBot="1" x14ac:dyDescent="0.4">
      <c r="A18" s="58"/>
      <c r="B18" s="81" t="s">
        <v>2</v>
      </c>
      <c r="C18" s="74"/>
      <c r="D18" s="27"/>
      <c r="E18" s="67">
        <f ca="1">E17</f>
        <v>45482</v>
      </c>
      <c r="F18" s="67">
        <f ca="1">E18+2</f>
        <v>45484</v>
      </c>
      <c r="G18" s="17"/>
      <c r="H18" s="17">
        <f t="shared" ca="1" si="6"/>
        <v>3</v>
      </c>
      <c r="I18" s="44"/>
      <c r="J18" s="44"/>
      <c r="K18" s="44"/>
      <c r="L18" s="44"/>
      <c r="M18" s="44"/>
      <c r="N18" s="44"/>
      <c r="O18" s="44"/>
      <c r="P18" s="44"/>
      <c r="Q18" s="44"/>
      <c r="R18" s="44"/>
      <c r="S18" s="44"/>
      <c r="T18" s="44"/>
      <c r="U18" s="44"/>
      <c r="V18" s="44"/>
      <c r="W18" s="44"/>
      <c r="X18" s="44"/>
      <c r="Y18" s="45"/>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 customFormat="1" ht="30" customHeight="1" thickBot="1" x14ac:dyDescent="0.4">
      <c r="A19" s="58"/>
      <c r="B19" s="81" t="s">
        <v>3</v>
      </c>
      <c r="C19" s="74"/>
      <c r="D19" s="27"/>
      <c r="E19" s="67">
        <f ca="1">E18</f>
        <v>45482</v>
      </c>
      <c r="F19" s="67">
        <f ca="1">E19+3</f>
        <v>45485</v>
      </c>
      <c r="G19" s="17"/>
      <c r="H19" s="17">
        <f t="shared" ca="1" si="6"/>
        <v>4</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 customFormat="1" ht="30" customHeight="1" thickBot="1" x14ac:dyDescent="0.4">
      <c r="A20" s="58" t="s">
        <v>39</v>
      </c>
      <c r="B20" s="28" t="s">
        <v>18</v>
      </c>
      <c r="C20" s="75"/>
      <c r="D20" s="29"/>
      <c r="E20" s="30"/>
      <c r="F20" s="31"/>
      <c r="G20" s="17"/>
      <c r="H20" s="17" t="str">
        <f t="shared" si="6"/>
        <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 customFormat="1" ht="30" customHeight="1" thickBot="1" x14ac:dyDescent="0.4">
      <c r="A21" s="58"/>
      <c r="B21" s="82" t="s">
        <v>5</v>
      </c>
      <c r="C21" s="76"/>
      <c r="D21" s="32"/>
      <c r="E21" s="68">
        <f ca="1">E9+15</f>
        <v>45485</v>
      </c>
      <c r="F21" s="68">
        <f ca="1">E21+5</f>
        <v>45490</v>
      </c>
      <c r="G21" s="17"/>
      <c r="H21" s="17">
        <f t="shared" ca="1" si="6"/>
        <v>6</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 customFormat="1" ht="30" customHeight="1" thickBot="1" x14ac:dyDescent="0.4">
      <c r="A22" s="58"/>
      <c r="B22" s="82" t="s">
        <v>6</v>
      </c>
      <c r="C22" s="76"/>
      <c r="D22" s="32"/>
      <c r="E22" s="68">
        <f ca="1">F21+1</f>
        <v>45491</v>
      </c>
      <c r="F22" s="68">
        <f ca="1">E22+4</f>
        <v>45495</v>
      </c>
      <c r="G22" s="17"/>
      <c r="H22" s="17">
        <f t="shared" ca="1" si="6"/>
        <v>5</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 customFormat="1" ht="30" customHeight="1" thickBot="1" x14ac:dyDescent="0.4">
      <c r="A23" s="58"/>
      <c r="B23" s="82" t="s">
        <v>1</v>
      </c>
      <c r="C23" s="76"/>
      <c r="D23" s="32"/>
      <c r="E23" s="68">
        <f ca="1">E22+5</f>
        <v>45496</v>
      </c>
      <c r="F23" s="68">
        <f ca="1">E23+5</f>
        <v>45501</v>
      </c>
      <c r="G23" s="17"/>
      <c r="H23" s="17">
        <f t="shared" ca="1" si="6"/>
        <v>6</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 customFormat="1" ht="30" customHeight="1" thickBot="1" x14ac:dyDescent="0.4">
      <c r="A24" s="58"/>
      <c r="B24" s="82" t="s">
        <v>2</v>
      </c>
      <c r="C24" s="76"/>
      <c r="D24" s="32"/>
      <c r="E24" s="68">
        <f ca="1">F23+1</f>
        <v>45502</v>
      </c>
      <c r="F24" s="68">
        <f ca="1">E24+4</f>
        <v>45506</v>
      </c>
      <c r="G24" s="17"/>
      <c r="H24" s="17">
        <f t="shared" ca="1" si="6"/>
        <v>5</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 customFormat="1" ht="30" customHeight="1" thickBot="1" x14ac:dyDescent="0.4">
      <c r="A25" s="58"/>
      <c r="B25" s="82" t="s">
        <v>3</v>
      </c>
      <c r="C25" s="76"/>
      <c r="D25" s="32"/>
      <c r="E25" s="68">
        <f ca="1">E23</f>
        <v>45496</v>
      </c>
      <c r="F25" s="68">
        <f ca="1">E25+4</f>
        <v>45500</v>
      </c>
      <c r="G25" s="17"/>
      <c r="H25" s="17">
        <f t="shared" ca="1" si="6"/>
        <v>5</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 customFormat="1" ht="30" customHeight="1" thickBot="1" x14ac:dyDescent="0.4">
      <c r="A26" s="58" t="s">
        <v>39</v>
      </c>
      <c r="B26" s="33" t="s">
        <v>30</v>
      </c>
      <c r="C26" s="77"/>
      <c r="D26" s="34"/>
      <c r="E26" s="35"/>
      <c r="F26" s="36"/>
      <c r="G26" s="17"/>
      <c r="H26" s="17" t="str">
        <f t="shared" si="6"/>
        <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 customFormat="1" ht="30" customHeight="1" thickBot="1" x14ac:dyDescent="0.4">
      <c r="A27" s="58"/>
      <c r="B27" s="83" t="s">
        <v>5</v>
      </c>
      <c r="C27" s="78"/>
      <c r="D27" s="37"/>
      <c r="E27" s="69" t="s">
        <v>37</v>
      </c>
      <c r="F27" s="69" t="s">
        <v>37</v>
      </c>
      <c r="G27" s="17"/>
      <c r="H27" s="17" t="e">
        <f t="shared" si="6"/>
        <v>#VALUE!</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 customFormat="1" ht="30" customHeight="1" thickBot="1" x14ac:dyDescent="0.4">
      <c r="A28" s="58"/>
      <c r="B28" s="83" t="s">
        <v>6</v>
      </c>
      <c r="C28" s="78"/>
      <c r="D28" s="37"/>
      <c r="E28" s="69" t="s">
        <v>37</v>
      </c>
      <c r="F28" s="69" t="s">
        <v>37</v>
      </c>
      <c r="G28" s="17"/>
      <c r="H28" s="17" t="e">
        <f t="shared" si="6"/>
        <v>#VALUE!</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 customFormat="1" ht="30" customHeight="1" thickBot="1" x14ac:dyDescent="0.4">
      <c r="A29" s="58"/>
      <c r="B29" s="83" t="s">
        <v>1</v>
      </c>
      <c r="C29" s="78"/>
      <c r="D29" s="37"/>
      <c r="E29" s="69" t="s">
        <v>37</v>
      </c>
      <c r="F29" s="69" t="s">
        <v>37</v>
      </c>
      <c r="G29" s="17"/>
      <c r="H29" s="17" t="e">
        <f t="shared" si="6"/>
        <v>#VALUE!</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spans="1:64" s="3" customFormat="1" ht="30" customHeight="1" thickBot="1" x14ac:dyDescent="0.4">
      <c r="A30" s="58"/>
      <c r="B30" s="83" t="s">
        <v>2</v>
      </c>
      <c r="C30" s="78"/>
      <c r="D30" s="37"/>
      <c r="E30" s="69" t="s">
        <v>37</v>
      </c>
      <c r="F30" s="69" t="s">
        <v>37</v>
      </c>
      <c r="G30" s="17"/>
      <c r="H30" s="17" t="e">
        <f t="shared" si="6"/>
        <v>#VALUE!</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spans="1:64" s="3" customFormat="1" ht="30" customHeight="1" thickBot="1" x14ac:dyDescent="0.4">
      <c r="A31" s="58"/>
      <c r="B31" s="83" t="s">
        <v>3</v>
      </c>
      <c r="C31" s="78"/>
      <c r="D31" s="37"/>
      <c r="E31" s="69" t="s">
        <v>37</v>
      </c>
      <c r="F31" s="69" t="s">
        <v>37</v>
      </c>
      <c r="G31" s="17"/>
      <c r="H31" s="17" t="e">
        <f t="shared" si="6"/>
        <v>#VALUE!</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3" customFormat="1" ht="30" customHeight="1" thickBot="1" x14ac:dyDescent="0.4">
      <c r="A32" s="58" t="s">
        <v>41</v>
      </c>
      <c r="B32" s="84"/>
      <c r="C32" s="79"/>
      <c r="D32" s="16"/>
      <c r="E32" s="70"/>
      <c r="F32" s="70"/>
      <c r="G32" s="17"/>
      <c r="H32" s="17" t="str">
        <f t="shared" si="6"/>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3" customFormat="1" ht="30" customHeight="1" thickBot="1" x14ac:dyDescent="0.4">
      <c r="A33" s="59" t="s">
        <v>40</v>
      </c>
      <c r="B33" s="38" t="s">
        <v>7</v>
      </c>
      <c r="C33" s="39"/>
      <c r="D33" s="40"/>
      <c r="E33" s="41"/>
      <c r="F33" s="42"/>
      <c r="G33" s="43"/>
      <c r="H33" s="43" t="str">
        <f t="shared" si="6"/>
        <v/>
      </c>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row>
    <row r="34" spans="1:64" ht="30" customHeight="1" x14ac:dyDescent="0.35">
      <c r="G34" s="6"/>
    </row>
    <row r="35" spans="1:64" ht="30" customHeight="1" x14ac:dyDescent="0.35">
      <c r="C35" s="14"/>
      <c r="F35" s="60"/>
    </row>
    <row r="36" spans="1:64" ht="30" customHeight="1" x14ac:dyDescent="0.35">
      <c r="C36" s="15"/>
    </row>
  </sheetData>
  <mergeCells count="12">
    <mergeCell ref="C3:D3"/>
    <mergeCell ref="C4:D4"/>
    <mergeCell ref="B5:G5"/>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08984375" defaultRowHeight="13" x14ac:dyDescent="0.3"/>
  <cols>
    <col min="1" max="1" width="87.08984375" style="48" customWidth="1"/>
    <col min="2" max="16384" width="9.08984375" style="2"/>
  </cols>
  <sheetData>
    <row r="1" spans="1:2" ht="46.5" customHeight="1" x14ac:dyDescent="0.3"/>
    <row r="2" spans="1:2" s="50" customFormat="1" ht="15.5" x14ac:dyDescent="0.35">
      <c r="A2" s="49" t="s">
        <v>21</v>
      </c>
      <c r="B2" s="49"/>
    </row>
    <row r="3" spans="1:2" s="54" customFormat="1" ht="27" customHeight="1" x14ac:dyDescent="0.35">
      <c r="A3" s="55" t="s">
        <v>26</v>
      </c>
      <c r="B3" s="55"/>
    </row>
    <row r="4" spans="1:2" s="51" customFormat="1" ht="26" x14ac:dyDescent="0.6">
      <c r="A4" s="52" t="s">
        <v>20</v>
      </c>
    </row>
    <row r="5" spans="1:2" ht="74.150000000000006" customHeight="1" x14ac:dyDescent="0.3">
      <c r="A5" s="53" t="s">
        <v>29</v>
      </c>
    </row>
    <row r="6" spans="1:2" ht="26.25" customHeight="1" x14ac:dyDescent="0.3">
      <c r="A6" s="52" t="s">
        <v>35</v>
      </c>
    </row>
    <row r="7" spans="1:2" s="48" customFormat="1" ht="204.9" customHeight="1" x14ac:dyDescent="0.35">
      <c r="A7" s="57" t="s">
        <v>34</v>
      </c>
    </row>
    <row r="8" spans="1:2" s="51" customFormat="1" ht="26" x14ac:dyDescent="0.6">
      <c r="A8" s="52" t="s">
        <v>22</v>
      </c>
    </row>
    <row r="9" spans="1:2" ht="58" x14ac:dyDescent="0.3">
      <c r="A9" s="53" t="s">
        <v>31</v>
      </c>
    </row>
    <row r="10" spans="1:2" s="48" customFormat="1" ht="27.9" customHeight="1" x14ac:dyDescent="0.35">
      <c r="A10" s="56" t="s">
        <v>28</v>
      </c>
    </row>
    <row r="11" spans="1:2" s="51" customFormat="1" ht="26" x14ac:dyDescent="0.6">
      <c r="A11" s="52" t="s">
        <v>19</v>
      </c>
    </row>
    <row r="12" spans="1:2" ht="29" x14ac:dyDescent="0.3">
      <c r="A12" s="53" t="s">
        <v>27</v>
      </c>
    </row>
    <row r="13" spans="1:2" s="48" customFormat="1" ht="27.9" customHeight="1" x14ac:dyDescent="0.35">
      <c r="A13" s="56" t="s">
        <v>12</v>
      </c>
    </row>
    <row r="14" spans="1:2" s="51" customFormat="1" ht="26" x14ac:dyDescent="0.6">
      <c r="A14" s="52" t="s">
        <v>23</v>
      </c>
    </row>
    <row r="15" spans="1:2" ht="75" customHeight="1" x14ac:dyDescent="0.3">
      <c r="A15" s="53" t="s">
        <v>24</v>
      </c>
    </row>
    <row r="16" spans="1:2" ht="72.5" x14ac:dyDescent="0.3">
      <c r="A16" s="53" t="s">
        <v>25</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4F45A624D37345BA3D6C7F3CCC8A64" ma:contentTypeVersion="6" ma:contentTypeDescription="Een nieuw document maken." ma:contentTypeScope="" ma:versionID="a95558a414f93c50cf93849ef6b81d9e">
  <xsd:schema xmlns:xsd="http://www.w3.org/2001/XMLSchema" xmlns:xs="http://www.w3.org/2001/XMLSchema" xmlns:p="http://schemas.microsoft.com/office/2006/metadata/properties" xmlns:ns2="33ea04bd-7456-4005-b8af-1de5feb8104f" xmlns:ns3="2a651c57-fa6b-4017-894e-6b11b5cae88d" targetNamespace="http://schemas.microsoft.com/office/2006/metadata/properties" ma:root="true" ma:fieldsID="d1255b51442c35a75570c567ff40feb7" ns2:_="" ns3:_="">
    <xsd:import namespace="33ea04bd-7456-4005-b8af-1de5feb8104f"/>
    <xsd:import namespace="2a651c57-fa6b-4017-894e-6b11b5cae88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a04bd-7456-4005-b8af-1de5feb810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651c57-fa6b-4017-894e-6b11b5cae88d"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93A445-D906-4B24-8F68-63D211D3E68B}"/>
</file>

<file path=customXml/itemProps2.xml><?xml version="1.0" encoding="utf-8"?>
<ds:datastoreItem xmlns:ds="http://schemas.openxmlformats.org/officeDocument/2006/customXml" ds:itemID="{87819CCB-CB4A-4C43-B061-FDD9E9865586}"/>
</file>

<file path=customXml/itemProps3.xml><?xml version="1.0" encoding="utf-8"?>
<ds:datastoreItem xmlns:ds="http://schemas.openxmlformats.org/officeDocument/2006/customXml" ds:itemID="{68B33CFE-3D61-4F29-893E-9C4E1129D2E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2</vt:i4>
      </vt:variant>
      <vt:variant>
        <vt:lpstr>Benoemde bereiken</vt:lpstr>
      </vt:variant>
      <vt:variant>
        <vt:i4>6</vt:i4>
      </vt:variant>
    </vt:vector>
  </HeadingPairs>
  <TitlesOfParts>
    <vt:vector size="8" baseType="lpstr">
      <vt:lpstr>ProjectSchedule</vt:lpstr>
      <vt:lpstr>About</vt:lpstr>
      <vt:lpstr>ProjectSchedule!Afdruktitels</vt:lpstr>
      <vt:lpstr>Display_Week</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2024-06-28T10:38:34Z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0x010100CA4F45A624D37345BA3D6C7F3CCC8A64</vt:lpwstr>
  </property>
</Properties>
</file>